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iazpa\Documents\quest_PCM\"/>
    </mc:Choice>
  </mc:AlternateContent>
  <xr:revisionPtr revIDLastSave="0" documentId="8_{39FB4EE7-12C6-406F-9545-DEDE3E09B92D}" xr6:coauthVersionLast="47" xr6:coauthVersionMax="47" xr10:uidLastSave="{00000000-0000-0000-0000-000000000000}"/>
  <bookViews>
    <workbookView xWindow="-44628" yWindow="486" windowWidth="38520" windowHeight="18138" xr2:uid="{F0DA6B1A-985A-49E8-A59D-69A688E19C96}"/>
  </bookViews>
  <sheets>
    <sheet name="RH_benchmark_results" sheetId="1" r:id="rId1"/>
    <sheet name="0.01 Gap" sheetId="2" r:id="rId2"/>
    <sheet name="0.001 Gap" sheetId="3" r:id="rId3"/>
  </sheets>
  <definedNames>
    <definedName name="_xlnm._FilterDatabase" localSheetId="0" hidden="1">RH_benchmark_results!$A$1:$T$17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G25" i="1"/>
  <c r="H24" i="1"/>
  <c r="G24" i="1"/>
  <c r="H21" i="1"/>
  <c r="I21" i="1"/>
  <c r="J21" i="1"/>
  <c r="G21" i="1"/>
  <c r="H20" i="1"/>
  <c r="I20" i="1"/>
  <c r="J20" i="1"/>
  <c r="G20" i="1"/>
  <c r="D4" i="2"/>
  <c r="D5" i="2"/>
  <c r="D6" i="2"/>
  <c r="D7" i="2"/>
  <c r="D8" i="2"/>
  <c r="D9" i="2"/>
  <c r="D10" i="2"/>
  <c r="D3" i="2"/>
  <c r="C4" i="3"/>
  <c r="C5" i="3"/>
  <c r="C6" i="3"/>
  <c r="C7" i="3"/>
  <c r="C8" i="3"/>
  <c r="C9" i="3"/>
  <c r="C10" i="3"/>
  <c r="C11" i="3"/>
  <c r="C3" i="3"/>
</calcChain>
</file>

<file path=xl/sharedStrings.xml><?xml version="1.0" encoding="utf-8"?>
<sst xmlns="http://schemas.openxmlformats.org/spreadsheetml/2006/main" count="63" uniqueCount="32">
  <si>
    <t>F</t>
  </si>
  <si>
    <t>L</t>
  </si>
  <si>
    <t>relax_lookahead</t>
  </si>
  <si>
    <t>opt_gap</t>
  </si>
  <si>
    <t>RH_total_time</t>
  </si>
  <si>
    <t>RH_objective</t>
  </si>
  <si>
    <t>rh_build_time</t>
  </si>
  <si>
    <t>rh_solve_time</t>
  </si>
  <si>
    <t>rh_dispatch_build</t>
  </si>
  <si>
    <t>rh_dispatch_solve</t>
  </si>
  <si>
    <t>lazy_build_time</t>
  </si>
  <si>
    <t>lazy_solve_time</t>
  </si>
  <si>
    <t>lazy_total_time</t>
  </si>
  <si>
    <t>lazy_objective</t>
  </si>
  <si>
    <t>mono_build_time</t>
  </si>
  <si>
    <t>mono_solve_time</t>
  </si>
  <si>
    <t>mono_total_time</t>
  </si>
  <si>
    <t>mono_objective</t>
  </si>
  <si>
    <t>RH_gap_pct</t>
  </si>
  <si>
    <t>lazy_gap_pct</t>
  </si>
  <si>
    <t>RH total time</t>
  </si>
  <si>
    <t>gap</t>
  </si>
  <si>
    <t>0.01 Opt gap</t>
  </si>
  <si>
    <t>algorithm</t>
  </si>
  <si>
    <t>RH</t>
  </si>
  <si>
    <t>lazy</t>
  </si>
  <si>
    <t>Label</t>
  </si>
  <si>
    <t>0.1 avg</t>
  </si>
  <si>
    <t>Bbuild time</t>
  </si>
  <si>
    <t>Solve time</t>
  </si>
  <si>
    <t>lazy 1%</t>
  </si>
  <si>
    <t>lazy 0.1%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</si>
</sst>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Rolling Horizon average time profiling: 1% MIP Gap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AF-4620-BCD0-87FD26C7F7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AF-4620-BCD0-87FD26C7F7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AF-4620-BCD0-87FD26C7F7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AF-4620-BCD0-87FD26C7F7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RH_benchmark_results!$G$19:$J$19</c:f>
              <c:strCache>
                <c:ptCount val="4"/>
                <c:pt idx="0">
                  <c:v>rh_build_time</c:v>
                </c:pt>
                <c:pt idx="1">
                  <c:v>rh_solve_time</c:v>
                </c:pt>
                <c:pt idx="2">
                  <c:v>rh_dispatch_build</c:v>
                </c:pt>
                <c:pt idx="3">
                  <c:v>rh_dispatch_solve</c:v>
                </c:pt>
              </c:strCache>
            </c:strRef>
          </c:cat>
          <c:val>
            <c:numRef>
              <c:f>RH_benchmark_results!$G$20:$J$20</c:f>
              <c:numCache>
                <c:formatCode>0.00</c:formatCode>
                <c:ptCount val="4"/>
                <c:pt idx="0">
                  <c:v>5.0061691874998315</c:v>
                </c:pt>
                <c:pt idx="1">
                  <c:v>76.187414712505202</c:v>
                </c:pt>
                <c:pt idx="2">
                  <c:v>2.6475005624997681</c:v>
                </c:pt>
                <c:pt idx="3">
                  <c:v>3.2282213875005228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B-4DC8-B4A4-81D773DEA04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Rolling Horizon average time profiling: 0.1% MIP Gap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BF-4947-9CA4-FB27B46852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BF-4947-9CA4-FB27B46852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BF-4947-9CA4-FB27B46852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BF-4947-9CA4-FB27B46852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RH_benchmark_results!$G$19:$J$19</c:f>
              <c:strCache>
                <c:ptCount val="4"/>
                <c:pt idx="0">
                  <c:v>rh_build_time</c:v>
                </c:pt>
                <c:pt idx="1">
                  <c:v>rh_solve_time</c:v>
                </c:pt>
                <c:pt idx="2">
                  <c:v>rh_dispatch_build</c:v>
                </c:pt>
                <c:pt idx="3">
                  <c:v>rh_dispatch_solve</c:v>
                </c:pt>
              </c:strCache>
            </c:strRef>
          </c:cat>
          <c:val>
            <c:numRef>
              <c:f>RH_benchmark_results!$G$21:$J$21</c:f>
              <c:numCache>
                <c:formatCode>0.00</c:formatCode>
                <c:ptCount val="4"/>
                <c:pt idx="0">
                  <c:v>5.0524979374968071</c:v>
                </c:pt>
                <c:pt idx="1">
                  <c:v>424.33905801249693</c:v>
                </c:pt>
                <c:pt idx="2">
                  <c:v>2.9852277874997473</c:v>
                </c:pt>
                <c:pt idx="3">
                  <c:v>3.3632108250039865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7-425D-B3FA-A0469213EA9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Lazy Time profiling</a:t>
            </a:r>
          </a:p>
        </c:rich>
      </c:tx>
      <c:layout>
        <c:manualLayout>
          <c:xMode val="edge"/>
          <c:yMode val="edge"/>
          <c:x val="0.38902535142290889"/>
          <c:y val="2.7202949301535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FF3-4E20-9D3E-8EEDEE90A4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FF3-4E20-9D3E-8EEDEE90A4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RH_benchmark_results!$G$23:$H$23</c:f>
              <c:strCache>
                <c:ptCount val="2"/>
                <c:pt idx="0">
                  <c:v>Bbuild time</c:v>
                </c:pt>
                <c:pt idx="1">
                  <c:v>Solve time</c:v>
                </c:pt>
              </c:strCache>
            </c:strRef>
          </c:cat>
          <c:val>
            <c:numRef>
              <c:f>RH_benchmark_results!$G$24:$H$24</c:f>
              <c:numCache>
                <c:formatCode>General</c:formatCode>
                <c:ptCount val="2"/>
                <c:pt idx="0">
                  <c:v>1.8881126000051101</c:v>
                </c:pt>
                <c:pt idx="1">
                  <c:v>81.22467479998879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E-4626-AFD6-4B3235EE404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Runtime vs % Difference to Mono, 1% MIPGap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RH - Relax L =True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00B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831221401253243E-2"/>
                  <c:y val="3.2961334537820665E-2"/>
                </c:manualLayout>
              </c:layout>
              <c:tx>
                <c:rich>
                  <a:bodyPr/>
                  <a:lstStyle/>
                  <a:p>
                    <a:fld id="{1B2644DA-526B-425B-B368-12FDB74DA2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D8E-4000-94D3-27402990A5D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4B02975-EF38-41D0-BCDA-6D72A2DE9E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D8E-4000-94D3-27402990A5D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7D34DEC-D42F-4B6F-9FC8-A99039C4F9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D8E-4000-94D3-27402990A5D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6C11BED-1D33-4A6B-8373-E4062CBDA1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D8E-4000-94D3-27402990A5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('0.01 Gap'!$F$3,'0.01 Gap'!$F$5,'0.01 Gap'!$F$7,'0.01 Gap'!$F$9)</c:f>
              <c:numCache>
                <c:formatCode>General</c:formatCode>
                <c:ptCount val="4"/>
                <c:pt idx="0">
                  <c:v>1.4638056956187599</c:v>
                </c:pt>
                <c:pt idx="1">
                  <c:v>1.80977250657844</c:v>
                </c:pt>
                <c:pt idx="2">
                  <c:v>2.4551613736976199</c:v>
                </c:pt>
                <c:pt idx="3">
                  <c:v>1.0002792436194099</c:v>
                </c:pt>
              </c:numCache>
            </c:numRef>
          </c:xVal>
          <c:yVal>
            <c:numRef>
              <c:f>('0.01 Gap'!$E$3,'0.01 Gap'!$E$5,'0.01 Gap'!$E$7,'0.01 Gap'!$E$9)</c:f>
              <c:numCache>
                <c:formatCode>General</c:formatCode>
                <c:ptCount val="4"/>
                <c:pt idx="0">
                  <c:v>37.246600900005397</c:v>
                </c:pt>
                <c:pt idx="1">
                  <c:v>26.842468999995599</c:v>
                </c:pt>
                <c:pt idx="2">
                  <c:v>35.422332900008698</c:v>
                </c:pt>
                <c:pt idx="3">
                  <c:v>215.88335410000499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('0.01 Gap'!$D$3,'0.01 Gap'!$D$5,'0.01 Gap'!$D$7,'0.01 Gap'!$D$9)</c15:f>
                <c15:dlblRangeCache>
                  <c:ptCount val="4"/>
                  <c:pt idx="0">
                    <c:v>(4,6)</c:v>
                  </c:pt>
                  <c:pt idx="1">
                    <c:v>(8,4)</c:v>
                  </c:pt>
                  <c:pt idx="2">
                    <c:v>(8,6)</c:v>
                  </c:pt>
                  <c:pt idx="3">
                    <c:v>(12,6)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D8E-4000-94D3-27402990A5D3}"/>
            </c:ext>
          </c:extLst>
        </c:ser>
        <c:ser>
          <c:idx val="1"/>
          <c:order val="1"/>
          <c:tx>
            <c:v>RH - Relax L =False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41052DD-6805-4152-950B-0910EA6F8D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D8E-4000-94D3-27402990A5D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5A3A9F4-8C48-4DA6-B1DF-C1A214F017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D8E-4000-94D3-27402990A5D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C68F76C-EA35-446E-8A8F-CD733A5E71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D8E-4000-94D3-27402990A5D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D88C20-7205-4622-B36D-6E7CC7A0C9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D8E-4000-94D3-27402990A5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('0.01 Gap'!$F$4,'0.01 Gap'!$F$6,'0.01 Gap'!$F$8,'0.01 Gap'!$F$10)</c:f>
              <c:numCache>
                <c:formatCode>General</c:formatCode>
                <c:ptCount val="4"/>
                <c:pt idx="0">
                  <c:v>1.3630827460872099</c:v>
                </c:pt>
                <c:pt idx="1">
                  <c:v>1.5227043115907499</c:v>
                </c:pt>
                <c:pt idx="2">
                  <c:v>1.53655154782917</c:v>
                </c:pt>
                <c:pt idx="3">
                  <c:v>0.304812529216544</c:v>
                </c:pt>
              </c:numCache>
            </c:numRef>
          </c:xVal>
          <c:yVal>
            <c:numRef>
              <c:f>('0.01 Gap'!$E$4,'0.01 Gap'!$E$6,'0.01 Gap'!$E$8,'0.01 Gap'!$E$10)</c:f>
              <c:numCache>
                <c:formatCode>General</c:formatCode>
                <c:ptCount val="4"/>
                <c:pt idx="0">
                  <c:v>60.407945400001999</c:v>
                </c:pt>
                <c:pt idx="1">
                  <c:v>44.754490199993597</c:v>
                </c:pt>
                <c:pt idx="2">
                  <c:v>136.44681379999301</c:v>
                </c:pt>
                <c:pt idx="3">
                  <c:v>140.742916200004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('0.01 Gap'!$D$4,'0.01 Gap'!$D$6,'0.01 Gap'!$D$8,'0.01 Gap'!$D$10)</c15:f>
                <c15:dlblRangeCache>
                  <c:ptCount val="4"/>
                  <c:pt idx="0">
                    <c:v>(4,6)</c:v>
                  </c:pt>
                  <c:pt idx="1">
                    <c:v>(8,4)</c:v>
                  </c:pt>
                  <c:pt idx="2">
                    <c:v>(8,6)</c:v>
                  </c:pt>
                  <c:pt idx="3">
                    <c:v>(12,6)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D8E-4000-94D3-27402990A5D3}"/>
            </c:ext>
          </c:extLst>
        </c:ser>
        <c:ser>
          <c:idx val="2"/>
          <c:order val="2"/>
          <c:tx>
            <c:v>Lazy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'0.01 Gap'!$F$11</c:f>
              <c:numCache>
                <c:formatCode>General</c:formatCode>
                <c:ptCount val="1"/>
                <c:pt idx="0">
                  <c:v>0.21136001982607</c:v>
                </c:pt>
              </c:numCache>
            </c:numRef>
          </c:xVal>
          <c:yVal>
            <c:numRef>
              <c:f>'0.01 Gap'!$E$11</c:f>
              <c:numCache>
                <c:formatCode>General</c:formatCode>
                <c:ptCount val="1"/>
                <c:pt idx="0">
                  <c:v>83.112787399993906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8E-4000-94D3-27402990A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229984"/>
        <c:axId val="1634213664"/>
      </c:scatterChart>
      <c:valAx>
        <c:axId val="163422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Difference vs Monolithic </a:t>
                </a:r>
                <a:r>
                  <a:rPr lang="en-US" baseline="0"/>
                  <a:t>(%)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213664"/>
        <c:crosses val="autoZero"/>
        <c:crossBetween val="midCat"/>
      </c:valAx>
      <c:valAx>
        <c:axId val="163421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22998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vs % Difference to Mono,</a:t>
            </a:r>
            <a:r>
              <a:rPr lang="en-US" baseline="0"/>
              <a:t> 0.1% MIPGap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RH - Relax L = True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00B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499753053057592E-2"/>
                  <c:y val="-2.3231465215329396E-2"/>
                </c:manualLayout>
              </c:layout>
              <c:tx>
                <c:rich>
                  <a:bodyPr/>
                  <a:lstStyle/>
                  <a:p>
                    <a:fld id="{26A9D704-8FE8-4A6A-90F3-BFD8D26C30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D29-400F-9D42-8B7C37F5450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4E56C95-57D1-40CB-9C83-9FD4D501A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29-400F-9D42-8B7C37F54500}"/>
                </c:ext>
              </c:extLst>
            </c:dLbl>
            <c:dLbl>
              <c:idx val="2"/>
              <c:layout>
                <c:manualLayout>
                  <c:x val="-8.6666008141486686E-3"/>
                  <c:y val="-1.9007562448905745E-2"/>
                </c:manualLayout>
              </c:layout>
              <c:tx>
                <c:rich>
                  <a:bodyPr/>
                  <a:lstStyle/>
                  <a:p>
                    <a:fld id="{80C463C4-5E68-4A74-9FD6-9100066509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D29-400F-9D42-8B7C37F5450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CE278A7-78D3-447B-B771-2BD5E04D2C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29-400F-9D42-8B7C37F545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('0.001 Gap'!$F$3,'0.001 Gap'!$F$5,'0.001 Gap'!$F$7,'0.001 Gap'!$F$9)</c:f>
              <c:numCache>
                <c:formatCode>General</c:formatCode>
                <c:ptCount val="4"/>
                <c:pt idx="0">
                  <c:v>1.55446260558191</c:v>
                </c:pt>
                <c:pt idx="1">
                  <c:v>1.7855999254457999</c:v>
                </c:pt>
                <c:pt idx="2">
                  <c:v>1.7303589180235199</c:v>
                </c:pt>
                <c:pt idx="3">
                  <c:v>0.61455225340236996</c:v>
                </c:pt>
              </c:numCache>
            </c:numRef>
          </c:xVal>
          <c:yVal>
            <c:numRef>
              <c:f>('0.001 Gap'!$E$3,'0.001 Gap'!$E$5,'0.001 Gap'!$E$7,'0.001 Gap'!$E$9)</c:f>
              <c:numCache>
                <c:formatCode>General</c:formatCode>
                <c:ptCount val="4"/>
                <c:pt idx="0">
                  <c:v>89.571128299998193</c:v>
                </c:pt>
                <c:pt idx="1">
                  <c:v>66.195221799993305</c:v>
                </c:pt>
                <c:pt idx="2">
                  <c:v>79.652039099993999</c:v>
                </c:pt>
                <c:pt idx="3">
                  <c:v>436.50067280000002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('0.001 Gap'!$C$3,'0.001 Gap'!$C$5,'0.001 Gap'!$C$7,'0.001 Gap'!$C$9)</c15:f>
                <c15:dlblRangeCache>
                  <c:ptCount val="4"/>
                  <c:pt idx="0">
                    <c:v>(4,6)</c:v>
                  </c:pt>
                  <c:pt idx="1">
                    <c:v>(8,4)</c:v>
                  </c:pt>
                  <c:pt idx="2">
                    <c:v>(8,6)</c:v>
                  </c:pt>
                  <c:pt idx="3">
                    <c:v>(12,6)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D29-400F-9D42-8B7C37F54500}"/>
            </c:ext>
          </c:extLst>
        </c:ser>
        <c:ser>
          <c:idx val="1"/>
          <c:order val="1"/>
          <c:tx>
            <c:v>RH - Relax L = False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1666502035371672E-3"/>
                  <c:y val="2.9567319364964491E-2"/>
                </c:manualLayout>
              </c:layout>
              <c:tx>
                <c:rich>
                  <a:bodyPr/>
                  <a:lstStyle/>
                  <a:p>
                    <a:fld id="{1CFDFD66-1EC9-4C35-9596-0A61869ACD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D29-400F-9D42-8B7C37F54500}"/>
                </c:ext>
              </c:extLst>
            </c:dLbl>
            <c:dLbl>
              <c:idx val="1"/>
              <c:layout>
                <c:manualLayout>
                  <c:x val="1.0833251017685758E-2"/>
                  <c:y val="-3.3791222131388139E-2"/>
                </c:manualLayout>
              </c:layout>
              <c:tx>
                <c:rich>
                  <a:bodyPr/>
                  <a:lstStyle/>
                  <a:p>
                    <a:fld id="{4FEEDAF1-798E-4D43-BA51-411626F96B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D29-400F-9D42-8B7C37F5450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09D5EEF-28D9-4621-A391-FD667FF843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29-400F-9D42-8B7C37F5450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CF588B6-16CD-4E4B-AF40-9F0926E281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D29-400F-9D42-8B7C37F545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('0.001 Gap'!$F$4,'0.001 Gap'!$F$6,'0.001 Gap'!$F$8,'0.001 Gap'!$F$10)</c:f>
              <c:numCache>
                <c:formatCode>General</c:formatCode>
                <c:ptCount val="4"/>
                <c:pt idx="0">
                  <c:v>1.32569659904202</c:v>
                </c:pt>
                <c:pt idx="1">
                  <c:v>1.35703906984681</c:v>
                </c:pt>
                <c:pt idx="2">
                  <c:v>1.40732181933595</c:v>
                </c:pt>
                <c:pt idx="3">
                  <c:v>0.18695856103591901</c:v>
                </c:pt>
              </c:numCache>
            </c:numRef>
          </c:xVal>
          <c:yVal>
            <c:numRef>
              <c:f>('0.001 Gap'!$E$4,'0.001 Gap'!$E$6,'0.001 Gap'!$E$8,'0.001 Gap'!$E$10)</c:f>
              <c:numCache>
                <c:formatCode>General</c:formatCode>
                <c:ptCount val="4"/>
                <c:pt idx="0">
                  <c:v>138.66809809999501</c:v>
                </c:pt>
                <c:pt idx="1">
                  <c:v>145.98844030000299</c:v>
                </c:pt>
                <c:pt idx="2">
                  <c:v>1567.7631578999999</c:v>
                </c:pt>
                <c:pt idx="3">
                  <c:v>962.94557509999095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('0.001 Gap'!$C$4,'0.001 Gap'!$C$6,'0.001 Gap'!$C$8,'0.001 Gap'!$C$10)</c15:f>
                <c15:dlblRangeCache>
                  <c:ptCount val="4"/>
                  <c:pt idx="0">
                    <c:v>(4,6)</c:v>
                  </c:pt>
                  <c:pt idx="1">
                    <c:v>(8,4)</c:v>
                  </c:pt>
                  <c:pt idx="2">
                    <c:v>(8,6)</c:v>
                  </c:pt>
                  <c:pt idx="3">
                    <c:v>(12,6)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D29-400F-9D42-8B7C37F54500}"/>
            </c:ext>
          </c:extLst>
        </c:ser>
        <c:ser>
          <c:idx val="2"/>
          <c:order val="2"/>
          <c:tx>
            <c:v>Lazy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'0.001 Gap'!$F$11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'0.001 Gap'!$E$11</c:f>
              <c:numCache>
                <c:formatCode>General</c:formatCode>
                <c:ptCount val="1"/>
                <c:pt idx="0">
                  <c:v>788.93517219999899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29-400F-9D42-8B7C37F54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229984"/>
        <c:axId val="1634213664"/>
      </c:scatterChart>
      <c:valAx>
        <c:axId val="163422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Cost Difference vs Monolithic  </a:t>
                </a:r>
                <a:r>
                  <a:rPr lang="en-US" sz="1000" baseline="0"/>
                  <a:t>(%) 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213664"/>
        <c:crosses val="autoZero"/>
        <c:crossBetween val="midCat"/>
      </c:valAx>
      <c:valAx>
        <c:axId val="163421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229984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417195</xdr:colOff>
      <xdr:row>6</xdr:row>
      <xdr:rowOff>10476</xdr:rowOff>
    </xdr:from>
    <xdr:to>
      <xdr:col>32</xdr:col>
      <xdr:colOff>85725</xdr:colOff>
      <xdr:row>32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F0C78-98BC-6E93-973E-4F029C62E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571500</xdr:colOff>
      <xdr:row>35</xdr:row>
      <xdr:rowOff>20001</xdr:rowOff>
    </xdr:from>
    <xdr:to>
      <xdr:col>31</xdr:col>
      <xdr:colOff>552450</xdr:colOff>
      <xdr:row>58</xdr:row>
      <xdr:rowOff>11429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A0934F-527A-DFD0-9D02-E4725238E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245745</xdr:colOff>
      <xdr:row>6</xdr:row>
      <xdr:rowOff>162877</xdr:rowOff>
    </xdr:from>
    <xdr:to>
      <xdr:col>39</xdr:col>
      <xdr:colOff>350520</xdr:colOff>
      <xdr:row>24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FEEEAA-2E3D-1E0D-22B4-AB0DBED39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77832</xdr:colOff>
      <xdr:row>0</xdr:row>
      <xdr:rowOff>152942</xdr:rowOff>
    </xdr:from>
    <xdr:to>
      <xdr:col>21</xdr:col>
      <xdr:colOff>43543</xdr:colOff>
      <xdr:row>32</xdr:row>
      <xdr:rowOff>80281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00E3A-C7D9-B725-E6A3-002D08153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278170</xdr:colOff>
      <xdr:row>0</xdr:row>
      <xdr:rowOff>48847</xdr:rowOff>
    </xdr:from>
    <xdr:to>
      <xdr:col>19</xdr:col>
      <xdr:colOff>374511</xdr:colOff>
      <xdr:row>32</xdr:row>
      <xdr:rowOff>167210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8A3A9-DD86-4B35-AA9C-A79A4C602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7E81-EC2B-49A9-B489-73C8C6EB8021}">
  <dimension ref="A1:T25"/>
  <sheetViews>
    <sheetView tabSelected="1" topLeftCell="D1" workbookViewId="0">
      <selection activeCell="AK38" sqref="AK38"/>
    </sheetView>
  </sheetViews>
  <sheetFormatPr defaultRowHeight="15" x14ac:dyDescent="0.25"/>
  <cols>
    <col min="7" max="7" width="8.85546875" bestFit="1" customWidth="1"/>
    <col min="8" max="8" width="9.140625" bestFit="1" customWidth="1"/>
    <col min="9" max="10" width="8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4</v>
      </c>
      <c r="B2">
        <v>6</v>
      </c>
      <c r="C2" t="b">
        <v>1</v>
      </c>
      <c r="D2">
        <v>0.01</v>
      </c>
      <c r="E2">
        <v>37.246600900005397</v>
      </c>
      <c r="F2">
        <v>1249762.95438036</v>
      </c>
      <c r="G2">
        <v>6.0500880999898001</v>
      </c>
      <c r="H2">
        <v>24.5986833000206</v>
      </c>
      <c r="I2">
        <v>2.4844981999922302</v>
      </c>
      <c r="J2">
        <v>3.9543785999994698</v>
      </c>
      <c r="K2">
        <v>1.8881126000051101</v>
      </c>
      <c r="L2">
        <v>81.224674799988804</v>
      </c>
      <c r="M2">
        <v>83.112787399993906</v>
      </c>
      <c r="N2">
        <v>1234336.1704424999</v>
      </c>
      <c r="O2">
        <v>3.2889926999923702</v>
      </c>
      <c r="P2">
        <v>1145.0037963</v>
      </c>
      <c r="Q2">
        <v>1148.2927889999901</v>
      </c>
      <c r="R2">
        <v>1231732.77979492</v>
      </c>
      <c r="S2">
        <v>1.4638056956187599</v>
      </c>
      <c r="T2">
        <v>0.21136001982607</v>
      </c>
    </row>
    <row r="3" spans="1:20" x14ac:dyDescent="0.25">
      <c r="A3">
        <v>4</v>
      </c>
      <c r="B3">
        <v>6</v>
      </c>
      <c r="C3" t="b">
        <v>0</v>
      </c>
      <c r="D3">
        <v>0.01</v>
      </c>
      <c r="E3">
        <v>60.407945400001999</v>
      </c>
      <c r="F3">
        <v>1248522.3167942001</v>
      </c>
      <c r="G3">
        <v>6.1337902999948701</v>
      </c>
      <c r="H3">
        <v>48.412626700010101</v>
      </c>
      <c r="I3">
        <v>2.5500350000074801</v>
      </c>
      <c r="J3">
        <v>3.1517716999951499</v>
      </c>
      <c r="K3">
        <v>1.8881126000051101</v>
      </c>
      <c r="L3">
        <v>81.224674799988804</v>
      </c>
      <c r="M3">
        <v>83.112787399993906</v>
      </c>
      <c r="N3">
        <v>1234336.1704424999</v>
      </c>
      <c r="O3">
        <v>3.2889926999923702</v>
      </c>
      <c r="P3">
        <v>1145.0037963</v>
      </c>
      <c r="Q3">
        <v>1148.2927889999901</v>
      </c>
      <c r="R3">
        <v>1231732.77979492</v>
      </c>
      <c r="S3">
        <v>1.3630827460872099</v>
      </c>
      <c r="T3">
        <v>0.21136001982607</v>
      </c>
    </row>
    <row r="4" spans="1:20" x14ac:dyDescent="0.25">
      <c r="A4">
        <v>8</v>
      </c>
      <c r="B4">
        <v>4</v>
      </c>
      <c r="C4" t="b">
        <v>1</v>
      </c>
      <c r="D4">
        <v>0.01</v>
      </c>
      <c r="E4">
        <v>26.842468999995599</v>
      </c>
      <c r="F4">
        <v>1254024.34099816</v>
      </c>
      <c r="G4">
        <v>4.5482154999917803</v>
      </c>
      <c r="H4">
        <v>16.4339770000078</v>
      </c>
      <c r="I4">
        <v>2.61376759999257</v>
      </c>
      <c r="J4">
        <v>3.0926613000046901</v>
      </c>
      <c r="K4">
        <v>1.8881126000051101</v>
      </c>
      <c r="L4">
        <v>81.224674799988804</v>
      </c>
      <c r="M4">
        <v>83.112787399993906</v>
      </c>
      <c r="N4">
        <v>1234336.1704424999</v>
      </c>
      <c r="O4">
        <v>3.2889926999923702</v>
      </c>
      <c r="P4">
        <v>1145.0037963</v>
      </c>
      <c r="Q4">
        <v>1148.2927889999901</v>
      </c>
      <c r="R4">
        <v>1231732.77979492</v>
      </c>
      <c r="S4">
        <v>1.80977250657844</v>
      </c>
      <c r="T4">
        <v>0.21136001982607</v>
      </c>
    </row>
    <row r="5" spans="1:20" x14ac:dyDescent="0.25">
      <c r="A5">
        <v>8</v>
      </c>
      <c r="B5">
        <v>4</v>
      </c>
      <c r="C5" t="b">
        <v>0</v>
      </c>
      <c r="D5">
        <v>0.01</v>
      </c>
      <c r="E5">
        <v>44.754490199993597</v>
      </c>
      <c r="F5">
        <v>1250488.42794013</v>
      </c>
      <c r="G5">
        <v>4.5959369000047401</v>
      </c>
      <c r="H5">
        <v>34.188089500006697</v>
      </c>
      <c r="I5">
        <v>2.6672362999961399</v>
      </c>
      <c r="J5">
        <v>3.1597000000037898</v>
      </c>
      <c r="K5">
        <v>1.8881126000051101</v>
      </c>
      <c r="L5">
        <v>81.224674799988804</v>
      </c>
      <c r="M5">
        <v>83.112787399993906</v>
      </c>
      <c r="N5">
        <v>1234336.1704424999</v>
      </c>
      <c r="O5">
        <v>3.2889926999923702</v>
      </c>
      <c r="P5">
        <v>1145.0037963</v>
      </c>
      <c r="Q5">
        <v>1148.2927889999901</v>
      </c>
      <c r="R5">
        <v>1231732.77979492</v>
      </c>
      <c r="S5">
        <v>1.5227043115907499</v>
      </c>
      <c r="T5">
        <v>0.21136001982607</v>
      </c>
    </row>
    <row r="6" spans="1:20" x14ac:dyDescent="0.25">
      <c r="A6">
        <v>8</v>
      </c>
      <c r="B6">
        <v>6</v>
      </c>
      <c r="C6" t="b">
        <v>1</v>
      </c>
      <c r="D6">
        <v>0.01</v>
      </c>
      <c r="E6">
        <v>35.422332900008698</v>
      </c>
      <c r="F6">
        <v>1261973.8072316099</v>
      </c>
      <c r="G6">
        <v>5.1784855000150802</v>
      </c>
      <c r="H6">
        <v>24.3493010999955</v>
      </c>
      <c r="I6">
        <v>2.6594469999981798</v>
      </c>
      <c r="J6">
        <v>3.0895614000037299</v>
      </c>
      <c r="K6">
        <v>1.8881126000051101</v>
      </c>
      <c r="L6">
        <v>81.224674799988804</v>
      </c>
      <c r="M6">
        <v>83.112787399993906</v>
      </c>
      <c r="N6">
        <v>1234336.1704424999</v>
      </c>
      <c r="O6">
        <v>3.2889926999923702</v>
      </c>
      <c r="P6">
        <v>1145.0037963</v>
      </c>
      <c r="Q6">
        <v>1148.2927889999901</v>
      </c>
      <c r="R6">
        <v>1231732.77979492</v>
      </c>
      <c r="S6">
        <v>2.4551613736976199</v>
      </c>
      <c r="T6">
        <v>0.21136001982607</v>
      </c>
    </row>
    <row r="7" spans="1:20" x14ac:dyDescent="0.25">
      <c r="A7">
        <v>8</v>
      </c>
      <c r="B7">
        <v>6</v>
      </c>
      <c r="C7" t="b">
        <v>0</v>
      </c>
      <c r="D7">
        <v>0.01</v>
      </c>
      <c r="E7">
        <v>136.44681379999301</v>
      </c>
      <c r="F7">
        <v>1250658.9888879801</v>
      </c>
      <c r="G7">
        <v>5.1731642000086104</v>
      </c>
      <c r="H7">
        <v>125.262864799995</v>
      </c>
      <c r="I7">
        <v>2.6899562000035</v>
      </c>
      <c r="J7">
        <v>3.1769939999940102</v>
      </c>
      <c r="K7">
        <v>1.8881126000051101</v>
      </c>
      <c r="L7">
        <v>81.224674799988804</v>
      </c>
      <c r="M7">
        <v>83.112787399993906</v>
      </c>
      <c r="N7">
        <v>1234336.1704424999</v>
      </c>
      <c r="O7">
        <v>3.2889926999923702</v>
      </c>
      <c r="P7">
        <v>1145.0037963</v>
      </c>
      <c r="Q7">
        <v>1148.2927889999901</v>
      </c>
      <c r="R7">
        <v>1231732.77979492</v>
      </c>
      <c r="S7">
        <v>1.53655154782917</v>
      </c>
      <c r="T7">
        <v>0.21136001982607</v>
      </c>
    </row>
    <row r="8" spans="1:20" x14ac:dyDescent="0.25">
      <c r="A8">
        <v>12</v>
      </c>
      <c r="B8">
        <v>6</v>
      </c>
      <c r="C8" t="b">
        <v>1</v>
      </c>
      <c r="D8">
        <v>0.01</v>
      </c>
      <c r="E8">
        <v>215.88335410000499</v>
      </c>
      <c r="F8">
        <v>1244053.5471280599</v>
      </c>
      <c r="G8">
        <v>3.9722680999984701</v>
      </c>
      <c r="H8">
        <v>205.93647360001299</v>
      </c>
      <c r="I8">
        <v>2.7239909000054401</v>
      </c>
      <c r="J8">
        <v>3.11240340000949</v>
      </c>
      <c r="K8">
        <v>1.8881126000051101</v>
      </c>
      <c r="L8">
        <v>81.224674799988804</v>
      </c>
      <c r="M8">
        <v>83.112787399993906</v>
      </c>
      <c r="N8">
        <v>1234336.1704424999</v>
      </c>
      <c r="O8">
        <v>3.2889926999923702</v>
      </c>
      <c r="P8">
        <v>1145.0037963</v>
      </c>
      <c r="Q8">
        <v>1148.2927889999901</v>
      </c>
      <c r="R8">
        <v>1231732.77979492</v>
      </c>
      <c r="S8">
        <v>1.0002792436194099</v>
      </c>
      <c r="T8">
        <v>0.21136001982607</v>
      </c>
    </row>
    <row r="9" spans="1:20" x14ac:dyDescent="0.25">
      <c r="A9">
        <v>12</v>
      </c>
      <c r="B9">
        <v>6</v>
      </c>
      <c r="C9" t="b">
        <v>0</v>
      </c>
      <c r="D9">
        <v>0.01</v>
      </c>
      <c r="E9">
        <v>140.742916200004</v>
      </c>
      <c r="F9">
        <v>1235487.2556342001</v>
      </c>
      <c r="G9">
        <v>4.3974048999953004</v>
      </c>
      <c r="H9">
        <v>130.31730169999301</v>
      </c>
      <c r="I9">
        <v>2.7910733000026</v>
      </c>
      <c r="J9">
        <v>3.0883006999938498</v>
      </c>
      <c r="K9">
        <v>1.8881126000051101</v>
      </c>
      <c r="L9">
        <v>81.224674799988804</v>
      </c>
      <c r="M9">
        <v>83.112787399993906</v>
      </c>
      <c r="N9">
        <v>1234336.1704424999</v>
      </c>
      <c r="O9">
        <v>3.2889926999923702</v>
      </c>
      <c r="P9">
        <v>1145.0037963</v>
      </c>
      <c r="Q9">
        <v>1148.2927889999901</v>
      </c>
      <c r="R9">
        <v>1231732.77979492</v>
      </c>
      <c r="S9">
        <v>0.304812529216544</v>
      </c>
      <c r="T9">
        <v>0.21136001982607</v>
      </c>
    </row>
    <row r="10" spans="1:20" x14ac:dyDescent="0.25">
      <c r="A10">
        <v>4</v>
      </c>
      <c r="B10">
        <v>6</v>
      </c>
      <c r="C10" t="b">
        <v>1</v>
      </c>
      <c r="D10">
        <v>1E-3</v>
      </c>
      <c r="E10">
        <v>89.571128299998193</v>
      </c>
      <c r="F10">
        <v>1250879.60525752</v>
      </c>
      <c r="G10">
        <v>6.3443574000120799</v>
      </c>
      <c r="H10">
        <v>76.800093999976497</v>
      </c>
      <c r="I10">
        <v>2.8905625000042998</v>
      </c>
      <c r="J10">
        <v>3.37849430000642</v>
      </c>
      <c r="K10">
        <v>2.38928750000195</v>
      </c>
      <c r="L10">
        <v>786.54588469999703</v>
      </c>
      <c r="M10">
        <v>788.93517219999899</v>
      </c>
      <c r="N10">
        <v>1231732.77979492</v>
      </c>
      <c r="O10">
        <v>3.2889926999923702</v>
      </c>
      <c r="P10">
        <v>1145.0037963</v>
      </c>
      <c r="Q10">
        <v>1148.2927889999901</v>
      </c>
      <c r="R10">
        <v>1231732.77979492</v>
      </c>
      <c r="S10">
        <v>1.55446260558191</v>
      </c>
      <c r="T10">
        <v>0</v>
      </c>
    </row>
    <row r="11" spans="1:20" x14ac:dyDescent="0.25">
      <c r="A11">
        <v>4</v>
      </c>
      <c r="B11">
        <v>6</v>
      </c>
      <c r="C11" t="b">
        <v>0</v>
      </c>
      <c r="D11">
        <v>1E-3</v>
      </c>
      <c r="E11">
        <v>138.66809809999501</v>
      </c>
      <c r="F11">
        <v>1248061.8193659401</v>
      </c>
      <c r="G11">
        <v>6.6326372000039502</v>
      </c>
      <c r="H11">
        <v>125.802706199989</v>
      </c>
      <c r="I11">
        <v>2.8306413999962299</v>
      </c>
      <c r="J11">
        <v>3.2228067000105498</v>
      </c>
      <c r="K11">
        <v>2.38928750000195</v>
      </c>
      <c r="L11">
        <v>786.54588469999703</v>
      </c>
      <c r="M11">
        <v>788.93517219999899</v>
      </c>
      <c r="N11">
        <v>1231732.77979492</v>
      </c>
      <c r="O11">
        <v>3.2889926999923702</v>
      </c>
      <c r="P11">
        <v>1145.0037963</v>
      </c>
      <c r="Q11">
        <v>1148.2927889999901</v>
      </c>
      <c r="R11">
        <v>1231732.77979492</v>
      </c>
      <c r="S11">
        <v>1.32569659904202</v>
      </c>
      <c r="T11">
        <v>0</v>
      </c>
    </row>
    <row r="12" spans="1:20" x14ac:dyDescent="0.25">
      <c r="A12">
        <v>8</v>
      </c>
      <c r="B12">
        <v>4</v>
      </c>
      <c r="C12" t="b">
        <v>1</v>
      </c>
      <c r="D12">
        <v>1E-3</v>
      </c>
      <c r="E12">
        <v>66.195221799993305</v>
      </c>
      <c r="F12">
        <v>1253726.5993926299</v>
      </c>
      <c r="G12">
        <v>4.1286936999822501</v>
      </c>
      <c r="H12">
        <v>54.616823499993103</v>
      </c>
      <c r="I12">
        <v>4.09545429999707</v>
      </c>
      <c r="J12">
        <v>3.2081628000014399</v>
      </c>
      <c r="K12">
        <v>2.38928750000195</v>
      </c>
      <c r="L12">
        <v>786.54588469999703</v>
      </c>
      <c r="M12">
        <v>788.93517219999899</v>
      </c>
      <c r="N12">
        <v>1231732.77979492</v>
      </c>
      <c r="O12">
        <v>3.2889926999923702</v>
      </c>
      <c r="P12">
        <v>1145.0037963</v>
      </c>
      <c r="Q12">
        <v>1148.2927889999901</v>
      </c>
      <c r="R12">
        <v>1231732.77979492</v>
      </c>
      <c r="S12">
        <v>1.7855999254457999</v>
      </c>
      <c r="T12">
        <v>0</v>
      </c>
    </row>
    <row r="13" spans="1:20" x14ac:dyDescent="0.25">
      <c r="A13">
        <v>8</v>
      </c>
      <c r="B13">
        <v>4</v>
      </c>
      <c r="C13" t="b">
        <v>0</v>
      </c>
      <c r="D13">
        <v>1E-3</v>
      </c>
      <c r="E13">
        <v>145.98844030000299</v>
      </c>
      <c r="F13">
        <v>1248447.8748528401</v>
      </c>
      <c r="G13">
        <v>4.0902314999984801</v>
      </c>
      <c r="H13">
        <v>135.868365300004</v>
      </c>
      <c r="I13">
        <v>2.7605096000042901</v>
      </c>
      <c r="J13">
        <v>3.1186790000065199</v>
      </c>
      <c r="K13">
        <v>2.38928750000195</v>
      </c>
      <c r="L13">
        <v>786.54588469999703</v>
      </c>
      <c r="M13">
        <v>788.93517219999899</v>
      </c>
      <c r="N13">
        <v>1231732.77979492</v>
      </c>
      <c r="O13">
        <v>3.2889926999923702</v>
      </c>
      <c r="P13">
        <v>1145.0037963</v>
      </c>
      <c r="Q13">
        <v>1148.2927889999901</v>
      </c>
      <c r="R13">
        <v>1231732.77979492</v>
      </c>
      <c r="S13">
        <v>1.35703906984681</v>
      </c>
      <c r="T13">
        <v>0</v>
      </c>
    </row>
    <row r="14" spans="1:20" x14ac:dyDescent="0.25">
      <c r="A14">
        <v>8</v>
      </c>
      <c r="B14">
        <v>6</v>
      </c>
      <c r="C14" t="b">
        <v>1</v>
      </c>
      <c r="D14">
        <v>1E-3</v>
      </c>
      <c r="E14">
        <v>79.652039099993999</v>
      </c>
      <c r="F14">
        <v>1253046.1777963201</v>
      </c>
      <c r="G14">
        <v>5.0469907999940897</v>
      </c>
      <c r="H14">
        <v>68.249575299982098</v>
      </c>
      <c r="I14">
        <v>2.9998762000032002</v>
      </c>
      <c r="J14">
        <v>3.20905260001018</v>
      </c>
      <c r="K14">
        <v>2.38928750000195</v>
      </c>
      <c r="L14">
        <v>786.54588469999703</v>
      </c>
      <c r="M14">
        <v>788.93517219999899</v>
      </c>
      <c r="N14">
        <v>1231732.77979492</v>
      </c>
      <c r="O14">
        <v>3.2889926999923702</v>
      </c>
      <c r="P14">
        <v>1145.0037963</v>
      </c>
      <c r="Q14">
        <v>1148.2927889999901</v>
      </c>
      <c r="R14">
        <v>1231732.77979492</v>
      </c>
      <c r="S14">
        <v>1.7303589180235199</v>
      </c>
      <c r="T14">
        <v>0</v>
      </c>
    </row>
    <row r="15" spans="1:20" x14ac:dyDescent="0.25">
      <c r="A15">
        <v>8</v>
      </c>
      <c r="B15">
        <v>6</v>
      </c>
      <c r="C15" t="b">
        <v>0</v>
      </c>
      <c r="D15">
        <v>1E-3</v>
      </c>
      <c r="E15">
        <v>1567.7631578999999</v>
      </c>
      <c r="F15">
        <v>1249067.22396088</v>
      </c>
      <c r="G15">
        <v>5.6532600999926199</v>
      </c>
      <c r="H15">
        <v>1555.69270910002</v>
      </c>
      <c r="I15">
        <v>2.7489290999947098</v>
      </c>
      <c r="J15">
        <v>3.3905096999951598</v>
      </c>
      <c r="K15">
        <v>2.38928750000195</v>
      </c>
      <c r="L15">
        <v>786.54588469999703</v>
      </c>
      <c r="M15">
        <v>788.93517219999899</v>
      </c>
      <c r="N15">
        <v>1231732.77979492</v>
      </c>
      <c r="O15">
        <v>3.2889926999923702</v>
      </c>
      <c r="P15">
        <v>1145.0037963</v>
      </c>
      <c r="Q15">
        <v>1148.2927889999901</v>
      </c>
      <c r="R15">
        <v>1231732.77979492</v>
      </c>
      <c r="S15">
        <v>1.40732181933595</v>
      </c>
      <c r="T15">
        <v>0</v>
      </c>
    </row>
    <row r="16" spans="1:20" x14ac:dyDescent="0.25">
      <c r="A16">
        <v>12</v>
      </c>
      <c r="B16">
        <v>6</v>
      </c>
      <c r="C16" t="b">
        <v>1</v>
      </c>
      <c r="D16">
        <v>1E-3</v>
      </c>
      <c r="E16">
        <v>436.50067280000002</v>
      </c>
      <c r="F16">
        <v>1239302.42134904</v>
      </c>
      <c r="G16">
        <v>4.5435794999939301</v>
      </c>
      <c r="H16">
        <v>425.88201780000202</v>
      </c>
      <c r="I16">
        <v>2.7046709999994998</v>
      </c>
      <c r="J16">
        <v>3.2236771000025302</v>
      </c>
      <c r="K16">
        <v>2.38928750000195</v>
      </c>
      <c r="L16">
        <v>786.54588469999703</v>
      </c>
      <c r="M16">
        <v>788.93517219999899</v>
      </c>
      <c r="N16">
        <v>1231732.77979492</v>
      </c>
      <c r="O16">
        <v>3.2889926999923702</v>
      </c>
      <c r="P16">
        <v>1145.0037963</v>
      </c>
      <c r="Q16">
        <v>1148.2927889999901</v>
      </c>
      <c r="R16">
        <v>1231732.77979492</v>
      </c>
      <c r="S16">
        <v>0.61455225340236996</v>
      </c>
      <c r="T16">
        <v>0</v>
      </c>
    </row>
    <row r="17" spans="1:20" x14ac:dyDescent="0.25">
      <c r="A17">
        <v>12</v>
      </c>
      <c r="B17">
        <v>6</v>
      </c>
      <c r="C17" t="b">
        <v>0</v>
      </c>
      <c r="D17">
        <v>1E-3</v>
      </c>
      <c r="E17">
        <v>962.94557509999095</v>
      </c>
      <c r="F17">
        <v>1234035.60967583</v>
      </c>
      <c r="G17">
        <v>3.98023329999705</v>
      </c>
      <c r="H17">
        <v>951.80017290000899</v>
      </c>
      <c r="I17">
        <v>2.8511781999986798</v>
      </c>
      <c r="J17">
        <v>4.1543043999990896</v>
      </c>
      <c r="K17">
        <v>2.38928750000195</v>
      </c>
      <c r="L17">
        <v>786.54588469999703</v>
      </c>
      <c r="M17">
        <v>788.93517219999899</v>
      </c>
      <c r="N17">
        <v>1231732.77979492</v>
      </c>
      <c r="O17">
        <v>3.2889926999923702</v>
      </c>
      <c r="P17">
        <v>1145.0037963</v>
      </c>
      <c r="Q17">
        <v>1148.2927889999901</v>
      </c>
      <c r="R17">
        <v>1231732.77979492</v>
      </c>
      <c r="S17">
        <v>0.18695856103591901</v>
      </c>
      <c r="T17">
        <v>0</v>
      </c>
    </row>
    <row r="19" spans="1:20" x14ac:dyDescent="0.25">
      <c r="C19" t="s">
        <v>27</v>
      </c>
      <c r="G19" t="s">
        <v>6</v>
      </c>
      <c r="H19" t="s">
        <v>7</v>
      </c>
      <c r="I19" t="s">
        <v>8</v>
      </c>
      <c r="J19" t="s">
        <v>9</v>
      </c>
    </row>
    <row r="20" spans="1:20" x14ac:dyDescent="0.25">
      <c r="F20" s="1">
        <v>0.01</v>
      </c>
      <c r="G20" s="3">
        <f>AVERAGE(G2:G9)</f>
        <v>5.0061691874998315</v>
      </c>
      <c r="H20" s="3">
        <f>AVERAGE(H2:H9)</f>
        <v>76.187414712505202</v>
      </c>
      <c r="I20" s="3">
        <f>AVERAGE(I2:I9)</f>
        <v>2.6475005624997681</v>
      </c>
      <c r="J20" s="3">
        <f>AVERAGE(J2:J9)</f>
        <v>3.2282213875005228</v>
      </c>
    </row>
    <row r="21" spans="1:20" x14ac:dyDescent="0.25">
      <c r="F21" s="2">
        <v>1E-3</v>
      </c>
      <c r="G21" s="3">
        <f>AVERAGE(G10:G17)</f>
        <v>5.0524979374968071</v>
      </c>
      <c r="H21" s="3">
        <f>AVERAGE(H10:H17)</f>
        <v>424.33905801249693</v>
      </c>
      <c r="I21" s="3">
        <f>AVERAGE(I10:I17)</f>
        <v>2.9852277874997473</v>
      </c>
      <c r="J21" s="3">
        <f>AVERAGE(J10:J17)</f>
        <v>3.3632108250039865</v>
      </c>
    </row>
    <row r="22" spans="1:20" x14ac:dyDescent="0.25">
      <c r="F22" s="2"/>
    </row>
    <row r="23" spans="1:20" x14ac:dyDescent="0.25">
      <c r="G23" t="s">
        <v>28</v>
      </c>
      <c r="H23" t="s">
        <v>29</v>
      </c>
    </row>
    <row r="24" spans="1:20" x14ac:dyDescent="0.25">
      <c r="F24" t="s">
        <v>30</v>
      </c>
      <c r="G24">
        <f>AVERAGE(K2:K9)</f>
        <v>1.8881126000051101</v>
      </c>
      <c r="H24">
        <f>AVERAGE(L2:L8)</f>
        <v>81.22467479998879</v>
      </c>
    </row>
    <row r="25" spans="1:20" x14ac:dyDescent="0.25">
      <c r="F25" t="s">
        <v>31</v>
      </c>
      <c r="G25">
        <f>AVERAGE(K10:K17)</f>
        <v>2.38928750000195</v>
      </c>
      <c r="H25">
        <f>AVERAGE(L10:L17)</f>
        <v>786.54588469999715</v>
      </c>
    </row>
  </sheetData>
  <autoFilter ref="A1:T17" xr:uid="{5C287E81-EC2B-49A9-B489-73C8C6EB8021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996F-7CF8-4228-8F2C-E7BA5E4E545E}">
  <dimension ref="A1:G11"/>
  <sheetViews>
    <sheetView topLeftCell="B1" zoomScale="80" zoomScaleNormal="80" workbookViewId="0">
      <selection activeCell="J21" sqref="J21"/>
    </sheetView>
  </sheetViews>
  <sheetFormatPr defaultRowHeight="15" x14ac:dyDescent="0.25"/>
  <sheetData>
    <row r="1" spans="1:7" x14ac:dyDescent="0.25">
      <c r="A1" t="s">
        <v>22</v>
      </c>
    </row>
    <row r="2" spans="1:7" x14ac:dyDescent="0.25">
      <c r="A2" t="s">
        <v>0</v>
      </c>
      <c r="B2" t="s">
        <v>1</v>
      </c>
      <c r="C2" t="s">
        <v>2</v>
      </c>
      <c r="D2" t="s">
        <v>26</v>
      </c>
      <c r="E2" t="s">
        <v>20</v>
      </c>
      <c r="F2" t="s">
        <v>21</v>
      </c>
      <c r="G2" t="s">
        <v>23</v>
      </c>
    </row>
    <row r="3" spans="1:7" x14ac:dyDescent="0.25">
      <c r="A3">
        <v>4</v>
      </c>
      <c r="B3">
        <v>6</v>
      </c>
      <c r="C3" t="b">
        <v>1</v>
      </c>
      <c r="D3" t="str">
        <f>IF(G3="RH", "("&amp;A3&amp;","&amp;B3&amp;")","Lazy")</f>
        <v>(4,6)</v>
      </c>
      <c r="E3">
        <v>37.246600900005397</v>
      </c>
      <c r="F3">
        <v>1.4638056956187599</v>
      </c>
      <c r="G3" t="s">
        <v>24</v>
      </c>
    </row>
    <row r="4" spans="1:7" x14ac:dyDescent="0.25">
      <c r="A4">
        <v>4</v>
      </c>
      <c r="B4">
        <v>6</v>
      </c>
      <c r="C4" t="b">
        <v>0</v>
      </c>
      <c r="D4" t="str">
        <f t="shared" ref="D4:D10" si="0">IF(G4="RH", "("&amp;A4&amp;","&amp;B4&amp;")","Lazy")</f>
        <v>(4,6)</v>
      </c>
      <c r="E4">
        <v>60.407945400001999</v>
      </c>
      <c r="F4">
        <v>1.3630827460872099</v>
      </c>
      <c r="G4" t="s">
        <v>24</v>
      </c>
    </row>
    <row r="5" spans="1:7" x14ac:dyDescent="0.25">
      <c r="A5">
        <v>8</v>
      </c>
      <c r="B5">
        <v>4</v>
      </c>
      <c r="C5" t="b">
        <v>1</v>
      </c>
      <c r="D5" t="str">
        <f t="shared" si="0"/>
        <v>(8,4)</v>
      </c>
      <c r="E5">
        <v>26.842468999995599</v>
      </c>
      <c r="F5">
        <v>1.80977250657844</v>
      </c>
      <c r="G5" t="s">
        <v>24</v>
      </c>
    </row>
    <row r="6" spans="1:7" x14ac:dyDescent="0.25">
      <c r="A6">
        <v>8</v>
      </c>
      <c r="B6">
        <v>4</v>
      </c>
      <c r="C6" t="b">
        <v>0</v>
      </c>
      <c r="D6" t="str">
        <f t="shared" si="0"/>
        <v>(8,4)</v>
      </c>
      <c r="E6">
        <v>44.754490199993597</v>
      </c>
      <c r="F6">
        <v>1.5227043115907499</v>
      </c>
      <c r="G6" t="s">
        <v>24</v>
      </c>
    </row>
    <row r="7" spans="1:7" x14ac:dyDescent="0.25">
      <c r="A7">
        <v>8</v>
      </c>
      <c r="B7">
        <v>6</v>
      </c>
      <c r="C7" t="b">
        <v>1</v>
      </c>
      <c r="D7" t="str">
        <f t="shared" si="0"/>
        <v>(8,6)</v>
      </c>
      <c r="E7">
        <v>35.422332900008698</v>
      </c>
      <c r="F7">
        <v>2.4551613736976199</v>
      </c>
      <c r="G7" t="s">
        <v>24</v>
      </c>
    </row>
    <row r="8" spans="1:7" x14ac:dyDescent="0.25">
      <c r="A8">
        <v>8</v>
      </c>
      <c r="B8">
        <v>6</v>
      </c>
      <c r="C8" t="b">
        <v>0</v>
      </c>
      <c r="D8" t="str">
        <f t="shared" si="0"/>
        <v>(8,6)</v>
      </c>
      <c r="E8">
        <v>136.44681379999301</v>
      </c>
      <c r="F8">
        <v>1.53655154782917</v>
      </c>
      <c r="G8" t="s">
        <v>24</v>
      </c>
    </row>
    <row r="9" spans="1:7" x14ac:dyDescent="0.25">
      <c r="A9">
        <v>12</v>
      </c>
      <c r="B9">
        <v>6</v>
      </c>
      <c r="C9" t="b">
        <v>1</v>
      </c>
      <c r="D9" t="str">
        <f t="shared" si="0"/>
        <v>(12,6)</v>
      </c>
      <c r="E9">
        <v>215.88335410000499</v>
      </c>
      <c r="F9">
        <v>1.0002792436194099</v>
      </c>
      <c r="G9" t="s">
        <v>24</v>
      </c>
    </row>
    <row r="10" spans="1:7" x14ac:dyDescent="0.25">
      <c r="A10">
        <v>12</v>
      </c>
      <c r="B10">
        <v>6</v>
      </c>
      <c r="C10" t="b">
        <v>0</v>
      </c>
      <c r="D10" t="str">
        <f t="shared" si="0"/>
        <v>(12,6)</v>
      </c>
      <c r="E10">
        <v>140.742916200004</v>
      </c>
      <c r="F10">
        <v>0.304812529216544</v>
      </c>
      <c r="G10" t="s">
        <v>24</v>
      </c>
    </row>
    <row r="11" spans="1:7" x14ac:dyDescent="0.25">
      <c r="E11">
        <v>83.112787399993906</v>
      </c>
      <c r="F11">
        <v>0.21136001982607</v>
      </c>
      <c r="G11" t="s"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2A5A-5F4E-49A9-A26E-698FCB6E56E3}">
  <dimension ref="A1:G11"/>
  <sheetViews>
    <sheetView zoomScale="80" zoomScaleNormal="80" workbookViewId="0">
      <selection activeCell="J25" sqref="J25"/>
    </sheetView>
  </sheetViews>
  <sheetFormatPr defaultRowHeight="15" x14ac:dyDescent="0.25"/>
  <sheetData>
    <row r="1" spans="1:7" x14ac:dyDescent="0.25">
      <c r="A1" t="s">
        <v>22</v>
      </c>
    </row>
    <row r="2" spans="1:7" x14ac:dyDescent="0.25">
      <c r="A2" t="s">
        <v>0</v>
      </c>
      <c r="B2" t="s">
        <v>1</v>
      </c>
      <c r="C2" t="s">
        <v>26</v>
      </c>
      <c r="D2" t="s">
        <v>2</v>
      </c>
      <c r="E2" t="s">
        <v>20</v>
      </c>
      <c r="F2" t="s">
        <v>21</v>
      </c>
      <c r="G2" t="s">
        <v>23</v>
      </c>
    </row>
    <row r="3" spans="1:7" x14ac:dyDescent="0.25">
      <c r="A3">
        <v>4</v>
      </c>
      <c r="B3">
        <v>6</v>
      </c>
      <c r="C3" t="str">
        <f>IF(G3="RH", "("&amp;A3&amp;","&amp;B3&amp;")","Lazy")</f>
        <v>(4,6)</v>
      </c>
      <c r="D3" t="b">
        <v>1</v>
      </c>
      <c r="E3">
        <v>89.571128299998193</v>
      </c>
      <c r="F3">
        <v>1.55446260558191</v>
      </c>
      <c r="G3" t="s">
        <v>24</v>
      </c>
    </row>
    <row r="4" spans="1:7" x14ac:dyDescent="0.25">
      <c r="A4">
        <v>4</v>
      </c>
      <c r="B4">
        <v>6</v>
      </c>
      <c r="C4" t="str">
        <f t="shared" ref="C4:C11" si="0">IF(G4="RH", "("&amp;A4&amp;","&amp;B4&amp;")","Lazy")</f>
        <v>(4,6)</v>
      </c>
      <c r="D4" t="b">
        <v>0</v>
      </c>
      <c r="E4">
        <v>138.66809809999501</v>
      </c>
      <c r="F4">
        <v>1.32569659904202</v>
      </c>
      <c r="G4" t="s">
        <v>24</v>
      </c>
    </row>
    <row r="5" spans="1:7" x14ac:dyDescent="0.25">
      <c r="A5">
        <v>8</v>
      </c>
      <c r="B5">
        <v>4</v>
      </c>
      <c r="C5" t="str">
        <f t="shared" si="0"/>
        <v>(8,4)</v>
      </c>
      <c r="D5" t="b">
        <v>1</v>
      </c>
      <c r="E5">
        <v>66.195221799993305</v>
      </c>
      <c r="F5">
        <v>1.7855999254457999</v>
      </c>
      <c r="G5" t="s">
        <v>24</v>
      </c>
    </row>
    <row r="6" spans="1:7" x14ac:dyDescent="0.25">
      <c r="A6">
        <v>8</v>
      </c>
      <c r="B6">
        <v>4</v>
      </c>
      <c r="C6" t="str">
        <f t="shared" si="0"/>
        <v>(8,4)</v>
      </c>
      <c r="D6" t="b">
        <v>0</v>
      </c>
      <c r="E6">
        <v>145.98844030000299</v>
      </c>
      <c r="F6">
        <v>1.35703906984681</v>
      </c>
      <c r="G6" t="s">
        <v>24</v>
      </c>
    </row>
    <row r="7" spans="1:7" x14ac:dyDescent="0.25">
      <c r="A7">
        <v>8</v>
      </c>
      <c r="B7">
        <v>6</v>
      </c>
      <c r="C7" t="str">
        <f t="shared" si="0"/>
        <v>(8,6)</v>
      </c>
      <c r="D7" t="b">
        <v>1</v>
      </c>
      <c r="E7">
        <v>79.652039099993999</v>
      </c>
      <c r="F7">
        <v>1.7303589180235199</v>
      </c>
      <c r="G7" t="s">
        <v>24</v>
      </c>
    </row>
    <row r="8" spans="1:7" x14ac:dyDescent="0.25">
      <c r="A8">
        <v>8</v>
      </c>
      <c r="B8">
        <v>6</v>
      </c>
      <c r="C8" t="str">
        <f t="shared" si="0"/>
        <v>(8,6)</v>
      </c>
      <c r="D8" t="b">
        <v>0</v>
      </c>
      <c r="E8">
        <v>1567.7631578999999</v>
      </c>
      <c r="F8">
        <v>1.40732181933595</v>
      </c>
      <c r="G8" t="s">
        <v>24</v>
      </c>
    </row>
    <row r="9" spans="1:7" x14ac:dyDescent="0.25">
      <c r="A9">
        <v>12</v>
      </c>
      <c r="B9">
        <v>6</v>
      </c>
      <c r="C9" t="str">
        <f t="shared" si="0"/>
        <v>(12,6)</v>
      </c>
      <c r="D9" t="b">
        <v>1</v>
      </c>
      <c r="E9">
        <v>436.50067280000002</v>
      </c>
      <c r="F9">
        <v>0.61455225340236996</v>
      </c>
      <c r="G9" t="s">
        <v>24</v>
      </c>
    </row>
    <row r="10" spans="1:7" x14ac:dyDescent="0.25">
      <c r="A10">
        <v>12</v>
      </c>
      <c r="B10">
        <v>6</v>
      </c>
      <c r="C10" t="str">
        <f t="shared" si="0"/>
        <v>(12,6)</v>
      </c>
      <c r="D10" t="b">
        <v>0</v>
      </c>
      <c r="E10">
        <v>962.94557509999095</v>
      </c>
      <c r="F10">
        <v>0.18695856103591901</v>
      </c>
      <c r="G10" t="s">
        <v>24</v>
      </c>
    </row>
    <row r="11" spans="1:7" x14ac:dyDescent="0.25">
      <c r="C11" t="str">
        <f t="shared" si="0"/>
        <v>Lazy</v>
      </c>
      <c r="E11">
        <v>788.93517219999899</v>
      </c>
      <c r="F11">
        <v>0</v>
      </c>
      <c r="G1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RH_benchmark_results</vt:lpstr>
      <vt:lpstr>0.01 Gap</vt:lpstr>
      <vt:lpstr>0.001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Diaz Pacheco, Veronica</cp:lastModifiedBy>
  <dcterms:created xsi:type="dcterms:W3CDTF">2026-09-15T14:35:17Z</dcterms:created>
  <dcterms:modified xsi:type="dcterms:W3CDTF">2026-09-22T16:00:59Z</dcterms:modified>
</cp:coreProperties>
</file>