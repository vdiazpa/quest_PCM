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iazpa\Documents\quest_PCM\"/>
    </mc:Choice>
  </mc:AlternateContent>
  <xr:revisionPtr revIDLastSave="0" documentId="13_ncr:1_{AF9A5192-B177-43C2-B4B9-77D9E85D4959}" xr6:coauthVersionLast="47" xr6:coauthVersionMax="47" xr10:uidLastSave="{00000000-0000-0000-0000-000000000000}"/>
  <bookViews>
    <workbookView xWindow="1098" yWindow="0" windowWidth="17280" windowHeight="12318" activeTab="1" xr2:uid="{F0DA6B1A-985A-49E8-A59D-69A688E19C96}"/>
  </bookViews>
  <sheets>
    <sheet name="RH_benchmark_results" sheetId="1" r:id="rId1"/>
    <sheet name="0.01 Gap" sheetId="3" r:id="rId2"/>
  </sheets>
  <definedNames>
    <definedName name="_xlnm._FilterDatabase" localSheetId="0" hidden="1">RH_benchmark_results!$A$1:$T$17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2" i="1"/>
  <c r="S3" i="1"/>
  <c r="S4" i="1"/>
  <c r="S5" i="1"/>
  <c r="S6" i="1"/>
  <c r="S7" i="1"/>
  <c r="S2" i="1"/>
  <c r="E7" i="1"/>
  <c r="E6" i="1"/>
  <c r="E5" i="1"/>
  <c r="E3" i="1"/>
  <c r="E4" i="1"/>
  <c r="M5" i="1"/>
  <c r="M6" i="1"/>
  <c r="M7" i="1"/>
  <c r="M8" i="1"/>
  <c r="M9" i="1"/>
  <c r="M3" i="1"/>
  <c r="M4" i="1"/>
  <c r="E2" i="1"/>
  <c r="M2" i="1"/>
  <c r="C4" i="3"/>
  <c r="C5" i="3"/>
  <c r="C6" i="3"/>
  <c r="C7" i="3"/>
  <c r="C8" i="3"/>
  <c r="C9" i="3"/>
  <c r="C10" i="3"/>
  <c r="C11" i="3"/>
  <c r="C3" i="3"/>
</calcChain>
</file>

<file path=xl/sharedStrings.xml><?xml version="1.0" encoding="utf-8"?>
<sst xmlns="http://schemas.openxmlformats.org/spreadsheetml/2006/main" count="37" uniqueCount="27">
  <si>
    <t>F</t>
  </si>
  <si>
    <t>L</t>
  </si>
  <si>
    <t>relax_lookahead</t>
  </si>
  <si>
    <t>opt_gap</t>
  </si>
  <si>
    <t>RH_total_time</t>
  </si>
  <si>
    <t>RH_objective</t>
  </si>
  <si>
    <t>rh_build_time</t>
  </si>
  <si>
    <t>rh_solve_time</t>
  </si>
  <si>
    <t>rh_dispatch_build</t>
  </si>
  <si>
    <t>rh_dispatch_solve</t>
  </si>
  <si>
    <t>lazy_build_time</t>
  </si>
  <si>
    <t>lazy_solve_time</t>
  </si>
  <si>
    <t>lazy_total_time</t>
  </si>
  <si>
    <t>lazy_objective</t>
  </si>
  <si>
    <t>mono_build_time</t>
  </si>
  <si>
    <t>mono_solve_time</t>
  </si>
  <si>
    <t>mono_total_time</t>
  </si>
  <si>
    <t>mono_objective</t>
  </si>
  <si>
    <t>RH_gap_pct</t>
  </si>
  <si>
    <t>lazy_gap_pct</t>
  </si>
  <si>
    <t>RH total time</t>
  </si>
  <si>
    <t>gap</t>
  </si>
  <si>
    <t>0.01 Opt gap</t>
  </si>
  <si>
    <t>algorithm</t>
  </si>
  <si>
    <t>RH</t>
  </si>
  <si>
    <t>lazy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</si>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</sst>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vs % Difference to Mono,</a:t>
            </a:r>
            <a:r>
              <a:rPr lang="en-US" baseline="0"/>
              <a:t> 0.1% MIPGap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RH - Relax L = True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B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499753053057592E-2"/>
                  <c:y val="-2.3231465215329396E-2"/>
                </c:manualLayout>
              </c:layout>
              <c:tx>
                <c:rich>
                  <a:bodyPr/>
                  <a:lstStyle/>
                  <a:p>
                    <a:fld id="{3E690E98-6362-4F98-904A-5575FDAAE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D29-400F-9D42-8B7C37F545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BF5D69-AA9F-4D2A-84B9-2E831A78D1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9-400F-9D42-8B7C37F54500}"/>
                </c:ext>
              </c:extLst>
            </c:dLbl>
            <c:dLbl>
              <c:idx val="2"/>
              <c:layout>
                <c:manualLayout>
                  <c:x val="-8.6666008141486686E-3"/>
                  <c:y val="-1.9007562448905745E-2"/>
                </c:manualLayout>
              </c:layout>
              <c:tx>
                <c:rich>
                  <a:bodyPr/>
                  <a:lstStyle/>
                  <a:p>
                    <a:fld id="{985C6801-C72D-4DC6-BBA8-F66F7C6B2E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D29-400F-9D42-8B7C37F545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9-400F-9D42-8B7C37F54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('0.01 Gap'!$F$3,'0.01 Gap'!$F$5,'0.01 Gap'!$F$7,'0.01 Gap'!$F$9)</c:f>
              <c:numCache>
                <c:formatCode>General</c:formatCode>
                <c:ptCount val="4"/>
                <c:pt idx="0">
                  <c:v>1.55446260558191</c:v>
                </c:pt>
                <c:pt idx="1">
                  <c:v>1.7855999254457999</c:v>
                </c:pt>
                <c:pt idx="2">
                  <c:v>1.7303589180235199</c:v>
                </c:pt>
              </c:numCache>
            </c:numRef>
          </c:xVal>
          <c:yVal>
            <c:numRef>
              <c:f>('0.01 Gap'!$E$3,'0.01 Gap'!$E$5,'0.01 Gap'!$E$7,'0.01 Gap'!$E$9)</c:f>
              <c:numCache>
                <c:formatCode>General</c:formatCode>
                <c:ptCount val="4"/>
                <c:pt idx="0">
                  <c:v>47.859999999999992</c:v>
                </c:pt>
                <c:pt idx="1">
                  <c:v>32.3703</c:v>
                </c:pt>
                <c:pt idx="2">
                  <c:v>29.831099999999999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('0.01 Gap'!$C$3,'0.01 Gap'!$C$5,'0.01 Gap'!$C$7,'0.01 Gap'!$C$9)</c15:f>
                <c15:dlblRangeCache>
                  <c:ptCount val="4"/>
                  <c:pt idx="0">
                    <c:v>(4,6)</c:v>
                  </c:pt>
                  <c:pt idx="1">
                    <c:v>(8,4)</c:v>
                  </c:pt>
                  <c:pt idx="2">
                    <c:v>(8,6)</c:v>
                  </c:pt>
                  <c:pt idx="3">
                    <c:v>(12,6)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D29-400F-9D42-8B7C37F54500}"/>
            </c:ext>
          </c:extLst>
        </c:ser>
        <c:ser>
          <c:idx val="1"/>
          <c:order val="1"/>
          <c:tx>
            <c:v>RH - Relax L = False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1666502035371672E-3"/>
                  <c:y val="2.9567319364964491E-2"/>
                </c:manualLayout>
              </c:layout>
              <c:tx>
                <c:rich>
                  <a:bodyPr/>
                  <a:lstStyle/>
                  <a:p>
                    <a:fld id="{7C58D4DC-1424-4AB1-ABDB-F149DD4E40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D29-400F-9D42-8B7C37F54500}"/>
                </c:ext>
              </c:extLst>
            </c:dLbl>
            <c:dLbl>
              <c:idx val="1"/>
              <c:layout>
                <c:manualLayout>
                  <c:x val="1.0833251017685758E-2"/>
                  <c:y val="-3.3791222131388139E-2"/>
                </c:manualLayout>
              </c:layout>
              <c:tx>
                <c:rich>
                  <a:bodyPr/>
                  <a:lstStyle/>
                  <a:p>
                    <a:fld id="{C05C2028-E080-4C87-BD52-738762B5A1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D29-400F-9D42-8B7C37F545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D8B014-068C-4020-9124-9F5AA463C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9-400F-9D42-8B7C37F545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9-400F-9D42-8B7C37F54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('0.01 Gap'!$F$4,'0.01 Gap'!$F$6,'0.01 Gap'!$F$8,'0.01 Gap'!$F$10)</c:f>
              <c:numCache>
                <c:formatCode>General</c:formatCode>
                <c:ptCount val="4"/>
                <c:pt idx="0">
                  <c:v>1.32569659904202</c:v>
                </c:pt>
                <c:pt idx="1">
                  <c:v>1.35703906984681</c:v>
                </c:pt>
                <c:pt idx="2">
                  <c:v>1.40732181933595</c:v>
                </c:pt>
              </c:numCache>
            </c:numRef>
          </c:xVal>
          <c:yVal>
            <c:numRef>
              <c:f>('0.01 Gap'!$E$4,'0.01 Gap'!$E$6,'0.01 Gap'!$E$8,'0.01 Gap'!$E$10)</c:f>
              <c:numCache>
                <c:formatCode>General</c:formatCode>
                <c:ptCount val="4"/>
                <c:pt idx="0">
                  <c:v>64.225700000000003</c:v>
                </c:pt>
                <c:pt idx="1">
                  <c:v>49.972000000000001</c:v>
                </c:pt>
                <c:pt idx="2">
                  <c:v>85.103599999999986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('0.01 Gap'!$C$4,'0.01 Gap'!$C$6,'0.01 Gap'!$C$8,'0.01 Gap'!$C$10)</c15:f>
                <c15:dlblRangeCache>
                  <c:ptCount val="4"/>
                  <c:pt idx="0">
                    <c:v>(4,6)</c:v>
                  </c:pt>
                  <c:pt idx="1">
                    <c:v>(8,4)</c:v>
                  </c:pt>
                  <c:pt idx="2">
                    <c:v>(8,6)</c:v>
                  </c:pt>
                  <c:pt idx="3">
                    <c:v>(12,6)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D29-400F-9D42-8B7C37F54500}"/>
            </c:ext>
          </c:extLst>
        </c:ser>
        <c:ser>
          <c:idx val="2"/>
          <c:order val="2"/>
          <c:tx>
            <c:v>Lazy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'0.01 Gap'!$F$11</c:f>
              <c:numCache>
                <c:formatCode>General</c:formatCode>
                <c:ptCount val="1"/>
                <c:pt idx="0">
                  <c:v>0.1201852139749926</c:v>
                </c:pt>
              </c:numCache>
            </c:numRef>
          </c:xVal>
          <c:yVal>
            <c:numRef>
              <c:f>'0.01 Gap'!$E$11</c:f>
              <c:numCache>
                <c:formatCode>General</c:formatCode>
                <c:ptCount val="1"/>
                <c:pt idx="0">
                  <c:v>699.49470000000008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29-400F-9D42-8B7C37F54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229984"/>
        <c:axId val="1634213664"/>
      </c:scatterChart>
      <c:valAx>
        <c:axId val="163422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Cost Difference vs Monolithic  </a:t>
                </a:r>
                <a:r>
                  <a:rPr lang="en-US" sz="1000" baseline="0"/>
                  <a:t>(%) 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13664"/>
        <c:crosses val="autoZero"/>
        <c:crossBetween val="midCat"/>
      </c:valAx>
      <c:valAx>
        <c:axId val="16342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2998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487721</xdr:colOff>
      <xdr:row>0</xdr:row>
      <xdr:rowOff>0</xdr:rowOff>
    </xdr:from>
    <xdr:to>
      <xdr:col>17</xdr:col>
      <xdr:colOff>584061</xdr:colOff>
      <xdr:row>32</xdr:row>
      <xdr:rowOff>108838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8A3A9-DD86-4B35-AA9C-A79A4C602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7E81-EC2B-49A9-B489-73C8C6EB8021}">
  <dimension ref="A1:T17"/>
  <sheetViews>
    <sheetView zoomScale="140" zoomScaleNormal="140" workbookViewId="0">
      <selection activeCell="T2" sqref="T2"/>
    </sheetView>
  </sheetViews>
  <sheetFormatPr defaultRowHeight="14.4" x14ac:dyDescent="0.55000000000000004"/>
  <cols>
    <col min="5" max="5" width="9.68359375" bestFit="1" customWidth="1"/>
  </cols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>
        <v>4</v>
      </c>
      <c r="B2">
        <v>6</v>
      </c>
      <c r="C2" t="b">
        <v>1</v>
      </c>
      <c r="D2">
        <v>0.01</v>
      </c>
      <c r="E2">
        <f>5.72+36.01+2.8+3.33</f>
        <v>47.859999999999992</v>
      </c>
      <c r="F2">
        <v>1260311</v>
      </c>
      <c r="G2">
        <v>5.7214</v>
      </c>
      <c r="H2">
        <v>36.007399999999997</v>
      </c>
      <c r="I2">
        <v>2.7961</v>
      </c>
      <c r="J2">
        <v>3.3273000000000001</v>
      </c>
      <c r="K2">
        <v>2.5356000000000001</v>
      </c>
      <c r="L2">
        <v>696.95910000000003</v>
      </c>
      <c r="M2">
        <f>K2+L2</f>
        <v>699.49470000000008</v>
      </c>
      <c r="N2">
        <v>1212716.81523435</v>
      </c>
      <c r="P2">
        <v>18407.711599999999</v>
      </c>
      <c r="Q2">
        <v>18407.711599999999</v>
      </c>
      <c r="R2">
        <v>1211259.3089350499</v>
      </c>
      <c r="S2">
        <f>100*(F2-R2)/F2</f>
        <v>3.8920307023385559</v>
      </c>
      <c r="T2">
        <f>100*(N2-R2)/N2</f>
        <v>0.1201852139749926</v>
      </c>
    </row>
    <row r="3" spans="1:20" x14ac:dyDescent="0.55000000000000004">
      <c r="A3">
        <v>4</v>
      </c>
      <c r="B3">
        <v>6</v>
      </c>
      <c r="C3" t="b">
        <v>0</v>
      </c>
      <c r="D3">
        <v>0.01</v>
      </c>
      <c r="E3">
        <f>SUM(G3:J3)</f>
        <v>64.225700000000003</v>
      </c>
      <c r="F3">
        <v>1247698.98</v>
      </c>
      <c r="G3">
        <v>6.2060000000000004</v>
      </c>
      <c r="H3">
        <v>52.070300000000003</v>
      </c>
      <c r="I3">
        <v>2.6621000000000001</v>
      </c>
      <c r="J3">
        <v>3.2873000000000001</v>
      </c>
      <c r="K3">
        <v>2.5356000000000001</v>
      </c>
      <c r="L3">
        <v>696.95910000000003</v>
      </c>
      <c r="M3">
        <f>K3+L3</f>
        <v>699.49470000000008</v>
      </c>
      <c r="N3">
        <v>1212716.81523435</v>
      </c>
      <c r="P3">
        <v>18407.711599999999</v>
      </c>
      <c r="Q3">
        <v>18407.711599999999</v>
      </c>
      <c r="R3">
        <v>1211259.3089350499</v>
      </c>
      <c r="S3">
        <f t="shared" ref="S3:S7" si="0">100*(F3-R3)/F3</f>
        <v>2.9205498801441725</v>
      </c>
      <c r="T3">
        <f t="shared" ref="T3:T9" si="1">100*(N3-R3)/N3</f>
        <v>0.1201852139749926</v>
      </c>
    </row>
    <row r="4" spans="1:20" x14ac:dyDescent="0.55000000000000004">
      <c r="A4">
        <v>8</v>
      </c>
      <c r="B4">
        <v>4</v>
      </c>
      <c r="C4" t="b">
        <v>1</v>
      </c>
      <c r="D4">
        <v>0.01</v>
      </c>
      <c r="E4">
        <f>SUM(G4:J4)</f>
        <v>32.3703</v>
      </c>
      <c r="F4">
        <v>1241990.6599999999</v>
      </c>
      <c r="G4">
        <v>4.0015999999999998</v>
      </c>
      <c r="H4">
        <v>22.4162</v>
      </c>
      <c r="I4">
        <v>2.7484000000000002</v>
      </c>
      <c r="J4">
        <v>3.2040999999999999</v>
      </c>
      <c r="K4">
        <v>2.5356000000000001</v>
      </c>
      <c r="L4">
        <v>696.95910000000003</v>
      </c>
      <c r="M4">
        <f>K4+L4</f>
        <v>699.49470000000008</v>
      </c>
      <c r="N4">
        <v>1212716.81523435</v>
      </c>
      <c r="P4">
        <v>18407.711599999999</v>
      </c>
      <c r="Q4">
        <v>18407.711599999999</v>
      </c>
      <c r="R4">
        <v>1211259.3089350499</v>
      </c>
      <c r="S4">
        <f t="shared" si="0"/>
        <v>2.4743624935915376</v>
      </c>
      <c r="T4">
        <f t="shared" si="1"/>
        <v>0.1201852139749926</v>
      </c>
    </row>
    <row r="5" spans="1:20" x14ac:dyDescent="0.55000000000000004">
      <c r="A5">
        <v>8</v>
      </c>
      <c r="B5">
        <v>4</v>
      </c>
      <c r="C5" t="b">
        <v>0</v>
      </c>
      <c r="D5">
        <v>0.01</v>
      </c>
      <c r="E5">
        <f>SUM(G5:J5)</f>
        <v>49.972000000000001</v>
      </c>
      <c r="F5">
        <v>1230823.5</v>
      </c>
      <c r="G5">
        <v>4.4241000000000001</v>
      </c>
      <c r="H5">
        <v>39.549399999999999</v>
      </c>
      <c r="I5">
        <v>2.7502</v>
      </c>
      <c r="J5">
        <v>3.2483</v>
      </c>
      <c r="K5">
        <v>2.5356000000000001</v>
      </c>
      <c r="L5">
        <v>696.95910000000003</v>
      </c>
      <c r="M5">
        <f t="shared" ref="M5:M9" si="2">K5+L5</f>
        <v>699.49470000000008</v>
      </c>
      <c r="N5">
        <v>1212716.81523435</v>
      </c>
      <c r="P5">
        <v>18407.711599999999</v>
      </c>
      <c r="Q5">
        <v>18407.711599999999</v>
      </c>
      <c r="R5">
        <v>1211259.3089350499</v>
      </c>
      <c r="S5">
        <f t="shared" si="0"/>
        <v>1.5895204361104642</v>
      </c>
      <c r="T5">
        <f t="shared" si="1"/>
        <v>0.1201852139749926</v>
      </c>
    </row>
    <row r="6" spans="1:20" x14ac:dyDescent="0.55000000000000004">
      <c r="A6">
        <v>8</v>
      </c>
      <c r="B6">
        <v>6</v>
      </c>
      <c r="C6" t="b">
        <v>1</v>
      </c>
      <c r="D6">
        <v>0.01</v>
      </c>
      <c r="E6">
        <f>SUM(G6:J6)</f>
        <v>29.831099999999999</v>
      </c>
      <c r="F6">
        <v>1238570.73</v>
      </c>
      <c r="G6">
        <v>5.6933999999999996</v>
      </c>
      <c r="H6">
        <v>18.182400000000001</v>
      </c>
      <c r="I6">
        <v>2.714</v>
      </c>
      <c r="J6">
        <v>3.2412999999999998</v>
      </c>
      <c r="K6">
        <v>2.5356000000000001</v>
      </c>
      <c r="L6">
        <v>696.95910000000003</v>
      </c>
      <c r="M6">
        <f t="shared" si="2"/>
        <v>699.49470000000008</v>
      </c>
      <c r="N6">
        <v>1212716.81523435</v>
      </c>
      <c r="P6">
        <v>18407.711599999999</v>
      </c>
      <c r="Q6">
        <v>18407.711599999999</v>
      </c>
      <c r="R6">
        <v>1211259.3089350499</v>
      </c>
      <c r="S6">
        <f t="shared" si="0"/>
        <v>2.2050756087987047</v>
      </c>
      <c r="T6">
        <f t="shared" si="1"/>
        <v>0.1201852139749926</v>
      </c>
    </row>
    <row r="7" spans="1:20" x14ac:dyDescent="0.55000000000000004">
      <c r="A7">
        <v>8</v>
      </c>
      <c r="B7">
        <v>6</v>
      </c>
      <c r="C7" t="b">
        <v>0</v>
      </c>
      <c r="D7">
        <v>0.01</v>
      </c>
      <c r="E7">
        <f>SUM(G7:J7)</f>
        <v>85.103599999999986</v>
      </c>
      <c r="F7">
        <v>1234105.52</v>
      </c>
      <c r="G7">
        <v>5.3178999999999998</v>
      </c>
      <c r="H7">
        <v>73.818899999999999</v>
      </c>
      <c r="I7">
        <v>2.7254</v>
      </c>
      <c r="J7">
        <v>3.2414000000000001</v>
      </c>
      <c r="K7">
        <v>2.5356000000000001</v>
      </c>
      <c r="L7">
        <v>696.95910000000003</v>
      </c>
      <c r="M7">
        <f t="shared" si="2"/>
        <v>699.49470000000008</v>
      </c>
      <c r="N7">
        <v>1212716.81523435</v>
      </c>
      <c r="P7">
        <v>18407.711599999999</v>
      </c>
      <c r="Q7">
        <v>18407.711599999999</v>
      </c>
      <c r="R7">
        <v>1211259.3089350499</v>
      </c>
      <c r="S7">
        <f t="shared" si="0"/>
        <v>1.8512364376224568</v>
      </c>
      <c r="T7">
        <f t="shared" si="1"/>
        <v>0.1201852139749926</v>
      </c>
    </row>
    <row r="8" spans="1:20" x14ac:dyDescent="0.55000000000000004">
      <c r="A8">
        <v>12</v>
      </c>
      <c r="B8">
        <v>6</v>
      </c>
      <c r="C8" t="b">
        <v>1</v>
      </c>
      <c r="D8">
        <v>0.01</v>
      </c>
      <c r="K8">
        <v>2.5356000000000001</v>
      </c>
      <c r="L8">
        <v>696.95910000000003</v>
      </c>
      <c r="M8">
        <f t="shared" si="2"/>
        <v>699.49470000000008</v>
      </c>
      <c r="N8">
        <v>1212716.81523435</v>
      </c>
      <c r="P8">
        <v>18407.711599999999</v>
      </c>
      <c r="Q8">
        <v>18407.711599999999</v>
      </c>
      <c r="R8">
        <v>1211259.3089350499</v>
      </c>
      <c r="S8">
        <v>1.0002792436194099</v>
      </c>
      <c r="T8">
        <f t="shared" si="1"/>
        <v>0.1201852139749926</v>
      </c>
    </row>
    <row r="9" spans="1:20" x14ac:dyDescent="0.55000000000000004">
      <c r="A9">
        <v>12</v>
      </c>
      <c r="B9">
        <v>6</v>
      </c>
      <c r="C9" t="b">
        <v>0</v>
      </c>
      <c r="D9">
        <v>0.01</v>
      </c>
      <c r="K9">
        <v>2.5356000000000001</v>
      </c>
      <c r="L9">
        <v>696.95910000000003</v>
      </c>
      <c r="M9">
        <f t="shared" si="2"/>
        <v>699.49470000000008</v>
      </c>
      <c r="N9">
        <v>1212716.81523435</v>
      </c>
      <c r="P9">
        <v>18407.711599999999</v>
      </c>
      <c r="Q9">
        <v>18407.711599999999</v>
      </c>
      <c r="R9">
        <v>1211259.3089350499</v>
      </c>
      <c r="S9">
        <v>0.304812529216544</v>
      </c>
      <c r="T9">
        <f t="shared" si="1"/>
        <v>0.1201852139749926</v>
      </c>
    </row>
    <row r="10" spans="1:20" x14ac:dyDescent="0.55000000000000004">
      <c r="A10">
        <v>4</v>
      </c>
      <c r="B10">
        <v>6</v>
      </c>
      <c r="C10" t="b">
        <v>1</v>
      </c>
      <c r="D10">
        <v>1E-3</v>
      </c>
    </row>
    <row r="11" spans="1:20" x14ac:dyDescent="0.55000000000000004">
      <c r="A11">
        <v>4</v>
      </c>
      <c r="B11">
        <v>6</v>
      </c>
      <c r="C11" t="b">
        <v>0</v>
      </c>
      <c r="D11">
        <v>1E-3</v>
      </c>
    </row>
    <row r="12" spans="1:20" x14ac:dyDescent="0.55000000000000004">
      <c r="A12">
        <v>8</v>
      </c>
      <c r="B12">
        <v>4</v>
      </c>
      <c r="C12" t="b">
        <v>1</v>
      </c>
      <c r="D12">
        <v>1E-3</v>
      </c>
    </row>
    <row r="13" spans="1:20" x14ac:dyDescent="0.55000000000000004">
      <c r="A13">
        <v>8</v>
      </c>
      <c r="B13">
        <v>4</v>
      </c>
      <c r="C13" t="b">
        <v>0</v>
      </c>
      <c r="D13">
        <v>1E-3</v>
      </c>
    </row>
    <row r="14" spans="1:20" x14ac:dyDescent="0.55000000000000004">
      <c r="A14">
        <v>8</v>
      </c>
      <c r="B14">
        <v>6</v>
      </c>
      <c r="C14" t="b">
        <v>1</v>
      </c>
      <c r="D14">
        <v>1E-3</v>
      </c>
    </row>
    <row r="15" spans="1:20" x14ac:dyDescent="0.55000000000000004">
      <c r="A15">
        <v>8</v>
      </c>
      <c r="B15">
        <v>6</v>
      </c>
      <c r="C15" t="b">
        <v>0</v>
      </c>
      <c r="D15">
        <v>1E-3</v>
      </c>
    </row>
    <row r="16" spans="1:20" x14ac:dyDescent="0.55000000000000004">
      <c r="A16">
        <v>12</v>
      </c>
      <c r="B16">
        <v>6</v>
      </c>
      <c r="C16" t="b">
        <v>1</v>
      </c>
      <c r="D16">
        <v>1E-3</v>
      </c>
    </row>
    <row r="17" spans="1:4" x14ac:dyDescent="0.55000000000000004">
      <c r="A17">
        <v>12</v>
      </c>
      <c r="B17">
        <v>6</v>
      </c>
      <c r="C17" t="b">
        <v>0</v>
      </c>
      <c r="D17">
        <v>1E-3</v>
      </c>
    </row>
  </sheetData>
  <autoFilter ref="A1:T17" xr:uid="{5C287E81-EC2B-49A9-B489-73C8C6EB80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2A5A-5F4E-49A9-A26E-698FCB6E56E3}">
  <dimension ref="A1:G11"/>
  <sheetViews>
    <sheetView tabSelected="1" zoomScale="80" zoomScaleNormal="80" workbookViewId="0">
      <selection activeCell="R1" sqref="R1:R1048576"/>
    </sheetView>
  </sheetViews>
  <sheetFormatPr defaultRowHeight="14.4" x14ac:dyDescent="0.55000000000000004"/>
  <sheetData>
    <row r="1" spans="1:7" x14ac:dyDescent="0.55000000000000004">
      <c r="A1" t="s">
        <v>22</v>
      </c>
    </row>
    <row r="2" spans="1:7" x14ac:dyDescent="0.55000000000000004">
      <c r="A2" t="s">
        <v>0</v>
      </c>
      <c r="B2" t="s">
        <v>1</v>
      </c>
      <c r="C2" t="s">
        <v>26</v>
      </c>
      <c r="D2" t="s">
        <v>2</v>
      </c>
      <c r="E2" t="s">
        <v>20</v>
      </c>
      <c r="F2" t="s">
        <v>21</v>
      </c>
      <c r="G2" t="s">
        <v>23</v>
      </c>
    </row>
    <row r="3" spans="1:7" x14ac:dyDescent="0.55000000000000004">
      <c r="A3">
        <v>4</v>
      </c>
      <c r="B3">
        <v>6</v>
      </c>
      <c r="C3" t="str">
        <f>IF(G3="RH", "("&amp;A3&amp;","&amp;B3&amp;")","Lazy")</f>
        <v>(4,6)</v>
      </c>
      <c r="D3" t="b">
        <v>1</v>
      </c>
      <c r="E3">
        <v>47.859999999999992</v>
      </c>
      <c r="F3">
        <v>1.55446260558191</v>
      </c>
      <c r="G3" t="s">
        <v>24</v>
      </c>
    </row>
    <row r="4" spans="1:7" x14ac:dyDescent="0.55000000000000004">
      <c r="A4">
        <v>4</v>
      </c>
      <c r="B4">
        <v>6</v>
      </c>
      <c r="C4" t="str">
        <f t="shared" ref="C4:C11" si="0">IF(G4="RH", "("&amp;A4&amp;","&amp;B4&amp;")","Lazy")</f>
        <v>(4,6)</v>
      </c>
      <c r="D4" t="b">
        <v>0</v>
      </c>
      <c r="E4">
        <v>64.225700000000003</v>
      </c>
      <c r="F4">
        <v>1.32569659904202</v>
      </c>
      <c r="G4" t="s">
        <v>24</v>
      </c>
    </row>
    <row r="5" spans="1:7" x14ac:dyDescent="0.55000000000000004">
      <c r="A5">
        <v>8</v>
      </c>
      <c r="B5">
        <v>4</v>
      </c>
      <c r="C5" t="str">
        <f t="shared" si="0"/>
        <v>(8,4)</v>
      </c>
      <c r="D5" t="b">
        <v>1</v>
      </c>
      <c r="E5">
        <v>32.3703</v>
      </c>
      <c r="F5">
        <v>1.7855999254457999</v>
      </c>
      <c r="G5" t="s">
        <v>24</v>
      </c>
    </row>
    <row r="6" spans="1:7" x14ac:dyDescent="0.55000000000000004">
      <c r="A6">
        <v>8</v>
      </c>
      <c r="B6">
        <v>4</v>
      </c>
      <c r="C6" t="str">
        <f t="shared" si="0"/>
        <v>(8,4)</v>
      </c>
      <c r="D6" t="b">
        <v>0</v>
      </c>
      <c r="E6">
        <v>49.972000000000001</v>
      </c>
      <c r="F6">
        <v>1.35703906984681</v>
      </c>
      <c r="G6" t="s">
        <v>24</v>
      </c>
    </row>
    <row r="7" spans="1:7" x14ac:dyDescent="0.55000000000000004">
      <c r="A7">
        <v>8</v>
      </c>
      <c r="B7">
        <v>6</v>
      </c>
      <c r="C7" t="str">
        <f t="shared" si="0"/>
        <v>(8,6)</v>
      </c>
      <c r="D7" t="b">
        <v>1</v>
      </c>
      <c r="E7">
        <v>29.831099999999999</v>
      </c>
      <c r="F7">
        <v>1.7303589180235199</v>
      </c>
      <c r="G7" t="s">
        <v>24</v>
      </c>
    </row>
    <row r="8" spans="1:7" x14ac:dyDescent="0.55000000000000004">
      <c r="A8">
        <v>8</v>
      </c>
      <c r="B8">
        <v>6</v>
      </c>
      <c r="C8" t="str">
        <f t="shared" si="0"/>
        <v>(8,6)</v>
      </c>
      <c r="D8" t="b">
        <v>0</v>
      </c>
      <c r="E8">
        <v>85.103599999999986</v>
      </c>
      <c r="F8">
        <v>1.40732181933595</v>
      </c>
      <c r="G8" t="s">
        <v>24</v>
      </c>
    </row>
    <row r="9" spans="1:7" x14ac:dyDescent="0.55000000000000004">
      <c r="A9">
        <v>12</v>
      </c>
      <c r="B9">
        <v>6</v>
      </c>
      <c r="C9" t="str">
        <f t="shared" si="0"/>
        <v>(12,6)</v>
      </c>
      <c r="D9" t="b">
        <v>1</v>
      </c>
      <c r="G9" t="s">
        <v>24</v>
      </c>
    </row>
    <row r="10" spans="1:7" x14ac:dyDescent="0.55000000000000004">
      <c r="A10">
        <v>12</v>
      </c>
      <c r="B10">
        <v>6</v>
      </c>
      <c r="C10" t="str">
        <f t="shared" si="0"/>
        <v>(12,6)</v>
      </c>
      <c r="D10" t="b">
        <v>0</v>
      </c>
      <c r="G10" t="s">
        <v>24</v>
      </c>
    </row>
    <row r="11" spans="1:7" x14ac:dyDescent="0.55000000000000004">
      <c r="C11" t="str">
        <f t="shared" si="0"/>
        <v>Lazy</v>
      </c>
      <c r="E11">
        <v>699.49470000000008</v>
      </c>
      <c r="F11">
        <v>0.1201852139749926</v>
      </c>
      <c r="G1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RH_benchmark_results</vt:lpstr>
      <vt:lpstr>0.01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 Pacheco, Veronica</cp:lastModifiedBy>
  <dcterms:created xsi:type="dcterms:W3CDTF">2026-09-15T14:35:17Z</dcterms:created>
  <dcterms:modified xsi:type="dcterms:W3CDTF">2026-09-29T03:21:28Z</dcterms:modified>
</cp:coreProperties>
</file>